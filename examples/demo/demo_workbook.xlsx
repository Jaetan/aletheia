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BC" sheetId="1" state="visible" r:id="rId3"/>
    <sheet name="Checks" sheetId="2" state="visible" r:id="rId4"/>
    <sheet name="When-Th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<sst xmlns="http://schemas.openxmlformats.org/spreadsheetml/2006/main" count="91" uniqueCount="70">
  <si>
    <t xml:space="preserve">Message ID</t>
  </si>
  <si>
    <t xml:space="preserve">Message Name</t>
  </si>
  <si>
    <t xml:space="preserve">DLC</t>
  </si>
  <si>
    <t xml:space="preserve">Signal</t>
  </si>
  <si>
    <t xml:space="preserve">Start Bit</t>
  </si>
  <si>
    <t xml:space="preserve">Length</t>
  </si>
  <si>
    <t xml:space="preserve">Byte Order</t>
  </si>
  <si>
    <t xml:space="preserve">Signed</t>
  </si>
  <si>
    <t xml:space="preserve">Factor</t>
  </si>
  <si>
    <t xml:space="preserve">Offset</t>
  </si>
  <si>
    <t xml:space="preserve">Min</t>
  </si>
  <si>
    <t xml:space="preserve">Max</t>
  </si>
  <si>
    <t xml:space="preserve">Unit</t>
  </si>
  <si>
    <t xml:space="preserve">0x100</t>
  </si>
  <si>
    <t xml:space="preserve">EngineData</t>
  </si>
  <si>
    <t xml:space="preserve">EngineSpeed</t>
  </si>
  <si>
    <t xml:space="preserve">little_endian</t>
  </si>
  <si>
    <t xml:space="preserve">rpm</t>
  </si>
  <si>
    <t xml:space="preserve">EngineTemp</t>
  </si>
  <si>
    <t xml:space="preserve">C</t>
  </si>
  <si>
    <t xml:space="preserve">BrakeStatus</t>
  </si>
  <si>
    <t xml:space="preserve">BrakePressure</t>
  </si>
  <si>
    <t xml:space="preserve">bar</t>
  </si>
  <si>
    <t xml:space="preserve">BrakeActive</t>
  </si>
  <si>
    <t xml:space="preserve">Check Name</t>
  </si>
  <si>
    <t xml:space="preserve">Condition</t>
  </si>
  <si>
    <t xml:space="preserve">Value</t>
  </si>
  <si>
    <t xml:space="preserve">Time (ms)</t>
  </si>
  <si>
    <t xml:space="preserve">Severity</t>
  </si>
  <si>
    <t xml:space="preserve">Speed limit</t>
  </si>
  <si>
    <t xml:space="preserve">VehicleSpeed</t>
  </si>
  <si>
    <t xml:space="preserve">never_exceeds</t>
  </si>
  <si>
    <t xml:space="preserve">safety</t>
  </si>
  <si>
    <t xml:space="preserve">Battery voltage range</t>
  </si>
  <si>
    <t xml:space="preserve">BatteryVoltage</t>
  </si>
  <si>
    <t xml:space="preserve">stays_between</t>
  </si>
  <si>
    <t xml:space="preserve">warning</t>
  </si>
  <si>
    <t xml:space="preserve">Coolant settling</t>
  </si>
  <si>
    <t xml:space="preserve">CoolantTemp</t>
  </si>
  <si>
    <t xml:space="preserve">settles_between</t>
  </si>
  <si>
    <t xml:space="preserve">info</t>
  </si>
  <si>
    <t xml:space="preserve">Fault code exclusion</t>
  </si>
  <si>
    <t xml:space="preserve">FaultCode</t>
  </si>
  <si>
    <t xml:space="preserve">never_equals</t>
  </si>
  <si>
    <t xml:space="preserve">critical</t>
  </si>
  <si>
    <t xml:space="preserve">Parking brake</t>
  </si>
  <si>
    <t xml:space="preserve">ParkingBrake</t>
  </si>
  <si>
    <t xml:space="preserve">equals</t>
  </si>
  <si>
    <t xml:space="preserve">Battery floor</t>
  </si>
  <si>
    <t xml:space="preserve">never_below</t>
  </si>
  <si>
    <t xml:space="preserve">When Signal</t>
  </si>
  <si>
    <t xml:space="preserve">When Condition</t>
  </si>
  <si>
    <t xml:space="preserve">When Value</t>
  </si>
  <si>
    <t xml:space="preserve">Then Signal</t>
  </si>
  <si>
    <t xml:space="preserve">Then Condition</t>
  </si>
  <si>
    <t xml:space="preserve">Then Value</t>
  </si>
  <si>
    <t xml:space="preserve">Then Min</t>
  </si>
  <si>
    <t xml:space="preserve">Then Max</t>
  </si>
  <si>
    <t xml:space="preserve">Within (ms)</t>
  </si>
  <si>
    <t xml:space="preserve">Brake light</t>
  </si>
  <si>
    <t xml:space="preserve">BrakePedal</t>
  </si>
  <si>
    <t xml:space="preserve">exceeds</t>
  </si>
  <si>
    <t xml:space="preserve">BrakeLight</t>
  </si>
  <si>
    <t xml:space="preserve">Engine start</t>
  </si>
  <si>
    <t xml:space="preserve">Ignition</t>
  </si>
  <si>
    <t xml:space="preserve">EngineRPM</t>
  </si>
  <si>
    <t xml:space="preserve">Fuel warning</t>
  </si>
  <si>
    <t xml:space="preserve">FuelLevel</t>
  </si>
  <si>
    <t xml:space="preserve">drops_below</t>
  </si>
  <si>
    <t xml:space="preserve">FuelWarning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</si>
</sst>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0"/>
      <name val="DejaVu Sans Mono"/>
      <family val="3"/>
      <charset val="1"/>
    </font>
    <font>
      <sz val="10"/>
      <color theme="1"/>
      <name val="DejaVu Sans Mono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A6"/>
        <bgColor rgb="FFFFFFCC"/>
      </patternFill>
    </fill>
    <fill>
      <patternFill patternType="solid">
        <fgColor rgb="FFB4C7DC"/>
        <bgColor rgb="FFB3CAC7"/>
      </patternFill>
    </fill>
    <fill>
      <patternFill patternType="solid">
        <fgColor rgb="FFB3CAC7"/>
        <bgColor rgb="FFB4C7D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11.83"/>
    <col collapsed="false" customWidth="true" hidden="false" outlineLevel="0" max="2" min="2" style="1" width="13.65"/>
    <col collapsed="false" customWidth="true" hidden="false" outlineLevel="0" max="3" min="3" style="1" width="5.46"/>
    <col collapsed="false" customWidth="true" hidden="false" outlineLevel="0" max="4" min="4" style="1" width="14.56"/>
    <col collapsed="false" customWidth="true" hidden="false" outlineLevel="0" max="5" min="5" style="1" width="10.92"/>
    <col collapsed="false" customWidth="true" hidden="false" outlineLevel="0" max="6" min="6" style="1" width="8.19"/>
    <col collapsed="false" customWidth="true" hidden="false" outlineLevel="0" max="7" min="7" style="1" width="14.56"/>
    <col collapsed="false" customWidth="true" hidden="false" outlineLevel="0" max="10" min="8" style="1" width="8.19"/>
    <col collapsed="false" customWidth="true" hidden="false" outlineLevel="0" max="11" min="11" style="1" width="5.46"/>
    <col collapsed="false" customWidth="true" hidden="false" outlineLevel="0" max="12" min="12" style="1" width="8.19"/>
    <col collapsed="false" customWidth="true" hidden="false" outlineLevel="0" max="13" min="13" style="1" width="6.37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false" outlineLevel="0" collapsed="false">
      <c r="A2" s="3" t="s">
        <v>13</v>
      </c>
      <c r="B2" s="4" t="s">
        <v>14</v>
      </c>
      <c r="C2" s="3" t="n">
        <v>8</v>
      </c>
      <c r="D2" s="3" t="s">
        <v>15</v>
      </c>
      <c r="E2" s="3" t="n">
        <v>0</v>
      </c>
      <c r="F2" s="3" t="n">
        <v>16</v>
      </c>
      <c r="G2" s="3" t="s">
        <v>16</v>
      </c>
      <c r="H2" s="3" t="b">
        <f aca="false">FALSE()</f>
        <v>0</v>
      </c>
      <c r="I2" s="3" t="n">
        <v>0.25</v>
      </c>
      <c r="J2" s="3" t="n">
        <v>0</v>
      </c>
      <c r="K2" s="3" t="n">
        <v>0</v>
      </c>
      <c r="L2" s="3" t="n">
        <v>8000</v>
      </c>
      <c r="M2" s="3" t="s">
        <v>17</v>
      </c>
    </row>
    <row r="3" customFormat="false" ht="15" hidden="false" customHeight="false" outlineLevel="0" collapsed="false">
      <c r="A3" s="5" t="s">
        <v>13</v>
      </c>
      <c r="B3" s="6" t="s">
        <v>14</v>
      </c>
      <c r="C3" s="5" t="n">
        <v>8</v>
      </c>
      <c r="D3" s="5" t="s">
        <v>18</v>
      </c>
      <c r="E3" s="5" t="n">
        <v>16</v>
      </c>
      <c r="F3" s="5" t="n">
        <v>8</v>
      </c>
      <c r="G3" s="5" t="s">
        <v>16</v>
      </c>
      <c r="H3" s="5" t="b">
        <f aca="false">TRUE()</f>
        <v>1</v>
      </c>
      <c r="I3" s="5" t="n">
        <v>1</v>
      </c>
      <c r="J3" s="5" t="n">
        <v>-40</v>
      </c>
      <c r="K3" s="5" t="n">
        <v>-40</v>
      </c>
      <c r="L3" s="5" t="n">
        <v>215</v>
      </c>
      <c r="M3" s="5" t="s">
        <v>19</v>
      </c>
    </row>
    <row r="4" customFormat="false" ht="15" hidden="false" customHeight="false" outlineLevel="0" collapsed="false">
      <c r="A4" s="7" t="n">
        <v>512</v>
      </c>
      <c r="B4" s="8" t="s">
        <v>20</v>
      </c>
      <c r="C4" s="7" t="n">
        <v>8</v>
      </c>
      <c r="D4" s="7" t="s">
        <v>21</v>
      </c>
      <c r="E4" s="7" t="n">
        <v>0</v>
      </c>
      <c r="F4" s="7" t="n">
        <v>16</v>
      </c>
      <c r="G4" s="7" t="s">
        <v>16</v>
      </c>
      <c r="H4" s="7" t="b">
        <f aca="false">FALSE()</f>
        <v>0</v>
      </c>
      <c r="I4" s="7" t="n">
        <v>0.1</v>
      </c>
      <c r="J4" s="7" t="n">
        <v>0</v>
      </c>
      <c r="K4" s="7" t="n">
        <v>0</v>
      </c>
      <c r="L4" s="7" t="n">
        <v>6553.5</v>
      </c>
      <c r="M4" s="7" t="s">
        <v>22</v>
      </c>
    </row>
    <row r="5" customFormat="false" ht="15" hidden="false" customHeight="false" outlineLevel="0" collapsed="false">
      <c r="A5" s="7" t="n">
        <v>512</v>
      </c>
      <c r="B5" s="8" t="s">
        <v>20</v>
      </c>
      <c r="C5" s="7" t="n">
        <v>8</v>
      </c>
      <c r="D5" s="7" t="s">
        <v>23</v>
      </c>
      <c r="E5" s="7" t="n">
        <v>16</v>
      </c>
      <c r="F5" s="7" t="n">
        <v>1</v>
      </c>
      <c r="G5" s="7" t="s">
        <v>16</v>
      </c>
      <c r="H5" s="7" t="b">
        <f aca="false">FALSE()</f>
        <v>0</v>
      </c>
      <c r="I5" s="7" t="n">
        <v>1</v>
      </c>
      <c r="J5" s="7" t="n">
        <v>0</v>
      </c>
      <c r="K5" s="7" t="n">
        <v>0</v>
      </c>
      <c r="L5" s="7" t="n">
        <v>1</v>
      </c>
      <c r="M5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21.84"/>
    <col collapsed="false" customWidth="true" hidden="false" outlineLevel="0" max="2" min="2" style="1" width="15.47"/>
    <col collapsed="false" customWidth="true" hidden="false" outlineLevel="0" max="3" min="3" style="1" width="16.38"/>
    <col collapsed="false" customWidth="true" hidden="false" outlineLevel="0" max="4" min="4" style="1" width="7.28"/>
    <col collapsed="false" customWidth="true" hidden="false" outlineLevel="0" max="6" min="5" style="1" width="6.37"/>
    <col collapsed="false" customWidth="true" hidden="false" outlineLevel="0" max="7" min="7" style="1" width="10.92"/>
    <col collapsed="false" customWidth="true" hidden="false" outlineLevel="0" max="8" min="8" style="1" width="10.01"/>
  </cols>
  <sheetData>
    <row r="1" customFormat="false" ht="15" hidden="false" customHeight="false" outlineLevel="0" collapsed="false">
      <c r="A1" s="9" t="s">
        <v>24</v>
      </c>
      <c r="B1" s="9" t="s">
        <v>3</v>
      </c>
      <c r="C1" s="9" t="s">
        <v>25</v>
      </c>
      <c r="D1" s="9" t="s">
        <v>26</v>
      </c>
      <c r="E1" s="9" t="s">
        <v>10</v>
      </c>
      <c r="F1" s="9" t="s">
        <v>11</v>
      </c>
      <c r="G1" s="9" t="s">
        <v>27</v>
      </c>
      <c r="H1" s="9" t="s">
        <v>28</v>
      </c>
    </row>
    <row r="2" customFormat="false" ht="15" hidden="false" customHeight="false" outlineLevel="0" collapsed="false">
      <c r="A2" s="10" t="s">
        <v>29</v>
      </c>
      <c r="B2" s="10" t="s">
        <v>30</v>
      </c>
      <c r="C2" s="10" t="s">
        <v>31</v>
      </c>
      <c r="D2" s="10" t="n">
        <v>220</v>
      </c>
      <c r="E2" s="10"/>
      <c r="F2" s="10"/>
      <c r="G2" s="10"/>
      <c r="H2" s="10" t="s">
        <v>32</v>
      </c>
    </row>
    <row r="3" customFormat="false" ht="15" hidden="false" customHeight="false" outlineLevel="0" collapsed="false">
      <c r="A3" s="10" t="s">
        <v>33</v>
      </c>
      <c r="B3" s="10" t="s">
        <v>34</v>
      </c>
      <c r="C3" s="10" t="s">
        <v>35</v>
      </c>
      <c r="D3" s="10"/>
      <c r="E3" s="10" t="n">
        <v>11.5</v>
      </c>
      <c r="F3" s="10" t="n">
        <v>14.5</v>
      </c>
      <c r="G3" s="10"/>
      <c r="H3" s="10" t="s">
        <v>36</v>
      </c>
    </row>
    <row r="4" customFormat="false" ht="15" hidden="false" customHeight="false" outlineLevel="0" collapsed="false">
      <c r="A4" s="10" t="s">
        <v>37</v>
      </c>
      <c r="B4" s="10" t="s">
        <v>38</v>
      </c>
      <c r="C4" s="10" t="s">
        <v>39</v>
      </c>
      <c r="D4" s="10"/>
      <c r="E4" s="10" t="n">
        <v>80</v>
      </c>
      <c r="F4" s="10" t="n">
        <v>100</v>
      </c>
      <c r="G4" s="10" t="n">
        <v>5000</v>
      </c>
      <c r="H4" s="10" t="s">
        <v>40</v>
      </c>
    </row>
    <row r="5" customFormat="false" ht="15" hidden="false" customHeight="false" outlineLevel="0" collapsed="false">
      <c r="A5" s="10" t="s">
        <v>41</v>
      </c>
      <c r="B5" s="10" t="s">
        <v>42</v>
      </c>
      <c r="C5" s="10" t="s">
        <v>43</v>
      </c>
      <c r="D5" s="10" t="n">
        <v>255</v>
      </c>
      <c r="E5" s="10"/>
      <c r="F5" s="10"/>
      <c r="G5" s="10"/>
      <c r="H5" s="10" t="s">
        <v>44</v>
      </c>
    </row>
    <row r="6" customFormat="false" ht="15" hidden="false" customHeight="false" outlineLevel="0" collapsed="false">
      <c r="A6" s="10" t="s">
        <v>45</v>
      </c>
      <c r="B6" s="10" t="s">
        <v>46</v>
      </c>
      <c r="C6" s="10" t="s">
        <v>47</v>
      </c>
      <c r="D6" s="10" t="n">
        <v>1</v>
      </c>
      <c r="E6" s="10"/>
      <c r="F6" s="10"/>
      <c r="G6" s="10"/>
      <c r="H6" s="10" t="s">
        <v>40</v>
      </c>
    </row>
    <row r="7" customFormat="false" ht="15" hidden="false" customHeight="false" outlineLevel="0" collapsed="false">
      <c r="A7" s="10" t="s">
        <v>48</v>
      </c>
      <c r="B7" s="10" t="s">
        <v>34</v>
      </c>
      <c r="C7" s="10" t="s">
        <v>49</v>
      </c>
      <c r="D7" s="10" t="n">
        <v>11</v>
      </c>
      <c r="E7" s="10"/>
      <c r="F7" s="10"/>
      <c r="G7" s="10"/>
      <c r="H7" s="10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13.65"/>
    <col collapsed="false" customWidth="true" hidden="false" outlineLevel="0" max="2" min="2" style="1" width="12.74"/>
    <col collapsed="false" customWidth="true" hidden="false" outlineLevel="0" max="3" min="3" style="1" width="15.47"/>
    <col collapsed="false" customWidth="true" hidden="false" outlineLevel="0" max="4" min="4" style="1" width="11.83"/>
    <col collapsed="false" customWidth="true" hidden="false" outlineLevel="0" max="5" min="5" style="1" width="12.74"/>
    <col collapsed="false" customWidth="true" hidden="false" outlineLevel="0" max="6" min="6" style="1" width="15.47"/>
    <col collapsed="false" customWidth="true" hidden="false" outlineLevel="0" max="7" min="7" style="1" width="11.83"/>
    <col collapsed="false" customWidth="true" hidden="false" outlineLevel="0" max="9" min="8" style="1" width="10.01"/>
    <col collapsed="false" customWidth="true" hidden="false" outlineLevel="0" max="10" min="10" style="1" width="12.74"/>
    <col collapsed="false" customWidth="true" hidden="false" outlineLevel="0" max="11" min="11" style="1" width="10.01"/>
  </cols>
  <sheetData>
    <row r="1" customFormat="false" ht="15" hidden="false" customHeight="false" outlineLevel="0" collapsed="false">
      <c r="A1" s="9" t="s">
        <v>24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28</v>
      </c>
    </row>
    <row r="2" customFormat="false" ht="15" hidden="false" customHeight="false" outlineLevel="0" collapsed="false">
      <c r="A2" s="10" t="s">
        <v>59</v>
      </c>
      <c r="B2" s="10" t="s">
        <v>60</v>
      </c>
      <c r="C2" s="10" t="s">
        <v>61</v>
      </c>
      <c r="D2" s="10" t="n">
        <v>50</v>
      </c>
      <c r="E2" s="10" t="s">
        <v>62</v>
      </c>
      <c r="F2" s="10" t="s">
        <v>47</v>
      </c>
      <c r="G2" s="10" t="n">
        <v>1</v>
      </c>
      <c r="H2" s="10"/>
      <c r="I2" s="10"/>
      <c r="J2" s="10" t="n">
        <v>100</v>
      </c>
      <c r="K2" s="10" t="s">
        <v>32</v>
      </c>
    </row>
    <row r="3" customFormat="false" ht="15" hidden="false" customHeight="false" outlineLevel="0" collapsed="false">
      <c r="A3" s="10" t="s">
        <v>63</v>
      </c>
      <c r="B3" s="10" t="s">
        <v>64</v>
      </c>
      <c r="C3" s="10" t="s">
        <v>47</v>
      </c>
      <c r="D3" s="10" t="n">
        <v>1</v>
      </c>
      <c r="E3" s="10" t="s">
        <v>65</v>
      </c>
      <c r="F3" s="10" t="s">
        <v>61</v>
      </c>
      <c r="G3" s="10" t="n">
        <v>500</v>
      </c>
      <c r="H3" s="10"/>
      <c r="I3" s="10"/>
      <c r="J3" s="10" t="n">
        <v>2000</v>
      </c>
      <c r="K3" s="10" t="s">
        <v>36</v>
      </c>
    </row>
    <row r="4" customFormat="false" ht="15" hidden="false" customHeight="false" outlineLevel="0" collapsed="false">
      <c r="A4" s="10" t="s">
        <v>66</v>
      </c>
      <c r="B4" s="10" t="s">
        <v>67</v>
      </c>
      <c r="C4" s="10" t="s">
        <v>68</v>
      </c>
      <c r="D4" s="10" t="n">
        <v>10</v>
      </c>
      <c r="E4" s="10" t="s">
        <v>69</v>
      </c>
      <c r="F4" s="10" t="s">
        <v>35</v>
      </c>
      <c r="G4" s="10"/>
      <c r="H4" s="10" t="n">
        <v>1</v>
      </c>
      <c r="I4" s="10" t="n">
        <v>1</v>
      </c>
      <c r="J4" s="10" t="n">
        <v>50</v>
      </c>
      <c r="K4" s="10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2026-02-14T21:12:35Z</dcterms:created>
  <dc:creator>openpyxl</dc:creator>
  <dc:description/>
  <dc:language>ja-JP</dc:language>
  <cp:lastModifiedBy/>
  <dcterms:modified xsi:type="dcterms:W3CDTF">2026-02-15T06:45:45Z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